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oudnloud\Downloads\aws\"/>
    </mc:Choice>
  </mc:AlternateContent>
  <bookViews>
    <workbookView xWindow="0" yWindow="0" windowWidth="20490" windowHeight="7650" tabRatio="283"/>
  </bookViews>
  <sheets>
    <sheet name="CBDB Sizing" sheetId="1" r:id="rId1"/>
  </sheets>
  <definedNames>
    <definedName name="_xlnm._FilterDatabase" localSheetId="0" hidden="1">'CBDB Sizing'!$A$15:$M$23</definedName>
    <definedName name="ave_num_of_folders_in_hierarchy">'CBDB Sizing'!$B$121</definedName>
    <definedName name="ave_num_of_vms_in_hierarchy" localSheetId="0">'CBDB Sizing'!$B$120</definedName>
    <definedName name="ave_pcnt_cb_folders_per_hierarchy" localSheetId="0">'CBDB Sizing'!$B$74</definedName>
    <definedName name="ave_stat_rec_size">'CBDB Sizing'!$B$86</definedName>
    <definedName name="avg_exp_report_page_size">'CBDB Sizing'!$B$119</definedName>
    <definedName name="avg_report_entity_with_cres_detail_size">'CBDB Sizing'!$B$118</definedName>
    <definedName name="avg_report_entity_with_cres_size">'CBDB Sizing'!$B$116</definedName>
    <definedName name="avg_report_entity_wout_cres_detail_size">'CBDB Sizing'!$B$117</definedName>
    <definedName name="avg_report_entity_wout_cres_size">'CBDB Sizing'!$B$115</definedName>
    <definedName name="bband_stats_interval">'CBDB Sizing'!$B$23</definedName>
    <definedName name="db_type" localSheetId="0">'CBDB Sizing'!$B$1</definedName>
    <definedName name="duration" comment="Total duration for the estimation (in years)" localSheetId="0">'CBDB Sizing'!$B$5</definedName>
    <definedName name="exp_report_size">'CBDB Sizing'!$L$101</definedName>
    <definedName name="is_vc_stats_enabled">'CBDB Sizing'!$B$11</definedName>
    <definedName name="lvl1_samples_size">'CBDB Sizing'!$B$96</definedName>
    <definedName name="lvl3_samples_size">'CBDB Sizing'!$B$103</definedName>
    <definedName name="lvl3_vc25_samples_size">'CBDB Sizing'!$B$111</definedName>
    <definedName name="num_cost_config_chnges">'CBDB Sizing'!$B$72</definedName>
    <definedName name="num_daily_samples">'CBDB Sizing'!$B$82</definedName>
    <definedName name="num_disk_devs_per_vm" comment="Average number of disk devices per Virtual Machine">'CBDB Sizing'!$B$10</definedName>
    <definedName name="num_ext_trafic_samples">'CBDB Sizing'!$B$89</definedName>
    <definedName name="num_hier_chnges">'CBDB Sizing'!$B$73</definedName>
    <definedName name="num_hierarchies" comment="Total Number of Hierarchies">'CBDB Sizing'!$B$16</definedName>
    <definedName name="num_lvl1_counters">'CBDB Sizing'!$B$84</definedName>
    <definedName name="num_net_devs_per_vm" comment="Average number of network devices per Virtual Machine">'CBDB Sizing'!$B$9</definedName>
    <definedName name="num_non_daily_samples">'CBDB Sizing'!$B$83</definedName>
    <definedName name="num_non_vcloud_lvl1_samples">'CBDB Sizing'!$B$92</definedName>
    <definedName name="num_non_vcloud_lvl3_samples">'CBDB Sizing'!$B$99</definedName>
    <definedName name="num_non_vcloud_lvl3_vc25_samples">'CBDB Sizing'!$B$107</definedName>
    <definedName name="num_orgs" comment="Number of Orgs">'CBDB Sizing'!$B$19</definedName>
    <definedName name="num_p95_records">'CBDB Sizing'!$B$127</definedName>
    <definedName name="num_report_comp_res">'CBDB Sizing'!$B$76</definedName>
    <definedName name="num_report_entities">'CBDB Sizing'!$B$122</definedName>
    <definedName name="num_report_pages">'CBDB Sizing'!$B$77</definedName>
    <definedName name="num_reports_per_hier_per_mon">'CBDB Sizing'!$B$26</definedName>
    <definedName name="num_reports_per_mon">'CBDB Sizing'!$L$95</definedName>
    <definedName name="num_rtd_nw_per_org">'CBDB Sizing'!$B$21</definedName>
    <definedName name="num_rtd_nw_per_vapp">'CBDB Sizing'!$B$22</definedName>
    <definedName name="num_short_lived_vms">'CBDB Sizing'!$B$71</definedName>
    <definedName name="num_vc25_lvl3_counters">'CBDB Sizing'!$D$85</definedName>
    <definedName name="num_vc4_lvl3_counters">'CBDB Sizing'!$B$85</definedName>
    <definedName name="num_vcpus_per_vm" comment="Average number of vCPUs per Virtual Machine" localSheetId="0">'CBDB Sizing'!$B$8</definedName>
    <definedName name="num_vcs" comment="Total number of vCenter Servers" localSheetId="0">'CBDB Sizing'!$B$6</definedName>
    <definedName name="num_vms_per_vapp">'CBDB Sizing'!$B$20</definedName>
    <definedName name="num_vms_per_vc">'CBDB Sizing'!$B$7</definedName>
    <definedName name="number_of_extenal_networks">'CBDB Sizing'!$B$29</definedName>
    <definedName name="number_of_extenla_networks">'CBDB Sizing'!$B$29</definedName>
    <definedName name="output_orcl_lvl1" localSheetId="0">'CBDB Sizing'!$41:$44</definedName>
    <definedName name="output_orcl_lvl3">'CBDB Sizing'!$A$47:$F$49</definedName>
    <definedName name="output_sql_lvl1">'CBDB Sizing'!$31:$35</definedName>
    <definedName name="output_sql_lvl3">'CBDB Sizing'!$36:$39</definedName>
    <definedName name="p95_record_size">'CBDB Sizing'!$B$128</definedName>
    <definedName name="report_entity_size_per_mon">'CBDB Sizing'!$L$98</definedName>
    <definedName name="short_lived_vms">'CBDB Sizing'!$B$71</definedName>
    <definedName name="stand_alone_cb" localSheetId="0">'CBDB Sizing'!$B$13</definedName>
    <definedName name="stand_alone_cb_info" comment="Stand Alone Chargeback Information block">'CBDB Sizing'!$15:$17</definedName>
    <definedName name="total_exp_reports_size">'CBDB Sizing'!$L$102</definedName>
    <definedName name="total_num_hiearchies">'CBDB Sizing'!$L$94</definedName>
    <definedName name="total_num_lvl1_samples">'CBDB Sizing'!$B$94</definedName>
    <definedName name="total_num_lvl3_samples">'CBDB Sizing'!$B$101</definedName>
    <definedName name="total_num_lvl3_vc25_samples">'CBDB Sizing'!$B$109</definedName>
    <definedName name="total_num_report_entities_per_mon">'CBDB Sizing'!$L$99</definedName>
    <definedName name="total_num_vapps">'CBDB Sizing'!$B$88</definedName>
    <definedName name="total_num_vms">'CBDB Sizing'!$B$81</definedName>
    <definedName name="total_p95_size">'CBDB Sizing'!$B$129</definedName>
    <definedName name="total_report_entity_detail_size">'CBDB Sizing'!$L$97</definedName>
    <definedName name="total_report_entity_summary_size">'CBDB Sizing'!$L$96</definedName>
    <definedName name="total_reports_size">'CBDB Sizing'!$B$124</definedName>
    <definedName name="vc_stats_coll_level">'CBDB Sizing'!$B$12</definedName>
    <definedName name="vcloud_integ_cb_info" localSheetId="0">'CBDB Sizing'!$18:$24</definedName>
    <definedName name="vms_per_vc" comment="Average number of Virtual Machines per vCenter Server" localSheetId="0">'CBDB Sizing'!$B$7</definedName>
    <definedName name="xml_reports_size">'CBDB Sizing'!$L$100</definedName>
  </definedNames>
  <calcPr calcId="162913"/>
</workbook>
</file>

<file path=xl/calcChain.xml><?xml version="1.0" encoding="utf-8"?>
<calcChain xmlns="http://schemas.openxmlformats.org/spreadsheetml/2006/main">
  <c r="B86" i="1" l="1"/>
  <c r="B128" i="1" l="1"/>
  <c r="L101" i="1"/>
  <c r="L97" i="1"/>
  <c r="L94" i="1" l="1"/>
  <c r="L95" i="1" l="1"/>
  <c r="L102" i="1" s="1"/>
  <c r="B81" i="1"/>
  <c r="D85" i="1"/>
  <c r="B85" i="1"/>
  <c r="B120" i="1" l="1"/>
  <c r="B121" i="1" s="1"/>
  <c r="B122" i="1" s="1"/>
  <c r="B83" i="1"/>
  <c r="B82" i="1"/>
  <c r="B88" i="1"/>
  <c r="B127" i="1" s="1"/>
  <c r="B116" i="1"/>
  <c r="B89" i="1" l="1"/>
  <c r="B129" i="1"/>
  <c r="B107" i="1"/>
  <c r="L96" i="1"/>
  <c r="L98" i="1" s="1"/>
  <c r="B99" i="1"/>
  <c r="B92" i="1"/>
  <c r="B101" i="1" l="1"/>
  <c r="B103" i="1" s="1"/>
  <c r="B94" i="1"/>
  <c r="B96" i="1" s="1"/>
  <c r="B109" i="1"/>
  <c r="B111" i="1" s="1"/>
  <c r="L99" i="1"/>
  <c r="L100" i="1" s="1"/>
  <c r="B124" i="1" s="1"/>
  <c r="B43" i="1" l="1"/>
  <c r="D43" i="1" s="1"/>
  <c r="B38" i="1"/>
  <c r="B33" i="1"/>
  <c r="B49" i="1"/>
  <c r="C38" i="1" l="1"/>
  <c r="D38" i="1"/>
  <c r="E38" i="1"/>
  <c r="E33" i="1"/>
  <c r="C33" i="1"/>
  <c r="D33" i="1"/>
  <c r="C43" i="1"/>
  <c r="C49" i="1"/>
  <c r="D49" i="1"/>
</calcChain>
</file>

<file path=xl/comments1.xml><?xml version="1.0" encoding="utf-8"?>
<comments xmlns="http://schemas.openxmlformats.org/spreadsheetml/2006/main">
  <authors>
    <author>dsathyamurthy</author>
  </authors>
  <commentList>
    <comment ref="B89" authorId="0" shapeId="0">
      <text>
        <r>
          <rPr>
            <b/>
            <sz val="9"/>
            <color indexed="81"/>
            <rFont val="Tahoma"/>
            <charset val="1"/>
          </rPr>
          <t>dsathyamurthy:</t>
        </r>
        <r>
          <rPr>
            <sz val="9"/>
            <color indexed="81"/>
            <rFont val="Tahoma"/>
            <charset val="1"/>
          </rPr>
          <t xml:space="preserve">
Assuming external interface per routed network
</t>
        </r>
      </text>
    </comment>
    <comment ref="A127" authorId="0" shapeId="0">
      <text>
        <r>
          <rPr>
            <b/>
            <sz val="9"/>
            <color indexed="81"/>
            <rFont val="Tahoma"/>
            <family val="2"/>
          </rPr>
          <t>dsathyamurthy:</t>
        </r>
        <r>
          <rPr>
            <sz val="9"/>
            <color indexed="81"/>
            <rFont val="Tahoma"/>
            <family val="2"/>
          </rPr>
          <t xml:space="preserve">
2 samples per day (Tx, Rx) per external network IP
</t>
        </r>
      </text>
    </comment>
    <comment ref="A128" authorId="0" shapeId="0">
      <text>
        <r>
          <rPr>
            <b/>
            <sz val="9"/>
            <color indexed="81"/>
            <rFont val="Tahoma"/>
            <family val="2"/>
          </rPr>
          <t>dsathyamurthy:</t>
        </r>
        <r>
          <rPr>
            <sz val="9"/>
            <color indexed="81"/>
            <rFont val="Tahoma"/>
            <family val="2"/>
          </rPr>
          <t xml:space="preserve">
int + int + varchar + date + date
http://msdn.microsoft.com/en-us/library/ms172424%28v=sql.100%29.aspx
http://devnet.magicsoftware.com/en/library?book=en/uniPaaS/&amp;page=Data_Management/SQL_Considerations/Oracle_Data_Types.htm</t>
        </r>
      </text>
    </comment>
  </commentList>
</comments>
</file>

<file path=xl/sharedStrings.xml><?xml version="1.0" encoding="utf-8"?>
<sst xmlns="http://schemas.openxmlformats.org/spreadsheetml/2006/main" count="129" uniqueCount="87">
  <si>
    <t>Average number of entities on which report is generated</t>
  </si>
  <si>
    <t>1 year = 365 days</t>
  </si>
  <si>
    <t>Average number of vCPUs per Virtual Machine</t>
  </si>
  <si>
    <t>Total number of samples</t>
  </si>
  <si>
    <t>bytes</t>
  </si>
  <si>
    <t>Number of short lived VMs (less than 1 day) per month</t>
  </si>
  <si>
    <t>GB</t>
  </si>
  <si>
    <t>Average number of computing resources on which report is generated</t>
  </si>
  <si>
    <t>Size of samples</t>
  </si>
  <si>
    <t>KB</t>
  </si>
  <si>
    <t>Number of routed/fenced networks for vApp</t>
  </si>
  <si>
    <t>Number of samples (without vCloud integration)</t>
  </si>
  <si>
    <t xml:space="preserve">Number of Orgs </t>
  </si>
  <si>
    <t>Number of reports generated per hierarchy per Month</t>
  </si>
  <si>
    <t>Average number of pages in the report</t>
  </si>
  <si>
    <t xml:space="preserve">Average exportable report page size </t>
  </si>
  <si>
    <t>Configuration</t>
  </si>
  <si>
    <t>Average size of each entity summary in report (without computing resource section)</t>
  </si>
  <si>
    <t>Average size of each entity summary in report for one computing resource section</t>
  </si>
  <si>
    <t>General Information</t>
  </si>
  <si>
    <t>Reporting information</t>
  </si>
  <si>
    <t>Average size of each entity detail (without computing resource section)</t>
  </si>
  <si>
    <t>Size of the each exportable report</t>
  </si>
  <si>
    <t>Size of the exportable reports per year for all the hierarchies</t>
  </si>
  <si>
    <t>Total size of the reports</t>
  </si>
  <si>
    <t>Size + 20%</t>
  </si>
  <si>
    <t>Size - 20%</t>
  </si>
  <si>
    <t>Average Number of changes in the cost configuration per Month</t>
  </si>
  <si>
    <t>vCenter Server Collection level 1</t>
  </si>
  <si>
    <t>Space for temporary Database</t>
  </si>
  <si>
    <t>vCenter Server Collection level 3 (vCenter Server 4.0 onwards)</t>
  </si>
  <si>
    <t>vCenter Server Collection level 3 (vCenter Server 2.5)</t>
  </si>
  <si>
    <t>(vCenter Server 2.5)</t>
  </si>
  <si>
    <t>Total duration for the estimation (in years)</t>
  </si>
  <si>
    <t>Number of Counters in Level 3 per VM (vCenter Server 4.0 onwards)</t>
  </si>
  <si>
    <t>Number of external traffic samples for vCould integration</t>
  </si>
  <si>
    <t>Average size of each entity detail for one computing resource section</t>
  </si>
  <si>
    <t>Size of summary for each entity in the report</t>
  </si>
  <si>
    <t>Average Number of structural changes in the hierarchy per Month</t>
  </si>
  <si>
    <t>Size of details for each entity in the report per month</t>
  </si>
  <si>
    <t>Size of each entity in the report per month</t>
  </si>
  <si>
    <t>Total number of entities per report per month</t>
  </si>
  <si>
    <t>Size of the reports for the given duration for all the hierarchies</t>
  </si>
  <si>
    <t xml:space="preserve">Number of reports for all the hierarchies per month </t>
  </si>
  <si>
    <t>Reports calculation</t>
  </si>
  <si>
    <t>Total Number of Hierarchies</t>
  </si>
  <si>
    <t>Total number of vCenter Servers</t>
  </si>
  <si>
    <t>Average number of network devices per Virtual Machine</t>
  </si>
  <si>
    <t>Average number of disk devices per Virtual Machine</t>
  </si>
  <si>
    <t>Average number of Virtual Machines per vCenter Server</t>
  </si>
  <si>
    <t>Yes</t>
  </si>
  <si>
    <t>Stand Alone Chargeback</t>
  </si>
  <si>
    <t>Stand Alone Chargeback Information</t>
  </si>
  <si>
    <t>vCenter Server statistics Collection Level</t>
  </si>
  <si>
    <t>vCenter Server statistics replication enabled?</t>
  </si>
  <si>
    <t>Average number of Virtual Machines per vApp</t>
  </si>
  <si>
    <t>Number of daily samples per counter</t>
  </si>
  <si>
    <t>Total number of Virtual Machines</t>
  </si>
  <si>
    <t>Number of non-daily samples per counter</t>
  </si>
  <si>
    <t>Number of counters in Level 1 per Virtual Machine (both vCenter Server 2.5 &amp; 4.0)</t>
  </si>
  <si>
    <t>Total number of vApps for all Orgs</t>
  </si>
  <si>
    <t>vCould Director Integration With Chargeback Information (includes VSM)</t>
  </si>
  <si>
    <t>Average stats record size</t>
  </si>
  <si>
    <t>Statistics Size Calculation</t>
  </si>
  <si>
    <t>Reports Size Calculation</t>
  </si>
  <si>
    <t>Total number of hierachies</t>
  </si>
  <si>
    <t>vCenter Server 4.0 onwards</t>
  </si>
  <si>
    <t>Potential Database size</t>
  </si>
  <si>
    <t>vCenter Server Version</t>
  </si>
  <si>
    <t>Hidden Configuration</t>
  </si>
  <si>
    <t>Sizing Estimate in GB</t>
  </si>
  <si>
    <t>Assumes all the VMs are distributed across the hierarchies.</t>
  </si>
  <si>
    <t>Broadband statistics sample interval (minutes)</t>
  </si>
  <si>
    <t>Average % of chargeback folders per virutal machines in a hierarchy</t>
  </si>
  <si>
    <t>%</t>
  </si>
  <si>
    <t>Average number of Chargeback folders in a hierarchy</t>
  </si>
  <si>
    <t>Average number of virtual machines in a hierarchy</t>
  </si>
  <si>
    <t>Minimum Space for Control, Redo and system DBF files</t>
  </si>
  <si>
    <t>Unit</t>
  </si>
  <si>
    <t>Database</t>
  </si>
  <si>
    <t>95th percentile calculation</t>
  </si>
  <si>
    <t>Total number of records needed for 95th percentile</t>
  </si>
  <si>
    <t>Average record size</t>
  </si>
  <si>
    <t>Size in GB</t>
  </si>
  <si>
    <t>No</t>
  </si>
  <si>
    <t>Number of routed networks per Org / Gateways per org</t>
  </si>
  <si>
    <t>Oracle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</si>
</sst>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Yes&quot;;&quot;Yes&quot;;&quot;No&quot;"/>
  </numFmts>
  <fonts count="1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rgb="FF3F3F76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3F3F3F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5887C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  <xf numFmtId="0" fontId="5" fillId="0" borderId="0" applyNumberFormat="0" applyFill="0" applyBorder="0" applyAlignment="0" applyProtection="0"/>
  </cellStyleXfs>
  <cellXfs count="30">
    <xf numFmtId="0" fontId="0" fillId="0" borderId="0" xfId="0"/>
    <xf numFmtId="0" fontId="4" fillId="0" borderId="0" xfId="0" applyFont="1"/>
    <xf numFmtId="0" fontId="4" fillId="0" borderId="0" xfId="0" applyFont="1" applyProtection="1">
      <protection hidden="1"/>
    </xf>
    <xf numFmtId="0" fontId="0" fillId="0" borderId="0" xfId="0" applyProtection="1">
      <protection hidden="1"/>
    </xf>
    <xf numFmtId="0" fontId="3" fillId="3" borderId="1" xfId="3" applyProtection="1">
      <protection hidden="1"/>
    </xf>
    <xf numFmtId="0" fontId="5" fillId="0" borderId="0" xfId="4" applyProtection="1">
      <protection hidden="1"/>
    </xf>
    <xf numFmtId="0" fontId="1" fillId="4" borderId="1" xfId="1" applyFill="1" applyProtection="1">
      <protection locked="0"/>
    </xf>
    <xf numFmtId="0" fontId="0" fillId="0" borderId="0" xfId="0" applyFont="1"/>
    <xf numFmtId="0" fontId="0" fillId="0" borderId="0" xfId="0" applyAlignment="1">
      <alignment horizontal="center"/>
    </xf>
    <xf numFmtId="0" fontId="1" fillId="4" borderId="1" xfId="1" applyFill="1" applyAlignment="1" applyProtection="1">
      <alignment horizontal="right"/>
      <protection locked="0"/>
    </xf>
    <xf numFmtId="0" fontId="6" fillId="0" borderId="0" xfId="0" applyFont="1"/>
    <xf numFmtId="164" fontId="9" fillId="4" borderId="1" xfId="1" applyNumberFormat="1" applyFont="1" applyFill="1" applyAlignment="1" applyProtection="1">
      <alignment horizontal="right"/>
      <protection locked="0"/>
    </xf>
    <xf numFmtId="0" fontId="10" fillId="0" borderId="0" xfId="0" applyFont="1"/>
    <xf numFmtId="0" fontId="10" fillId="0" borderId="0" xfId="0" applyFont="1" applyProtection="1"/>
    <xf numFmtId="0" fontId="9" fillId="4" borderId="1" xfId="1" applyFont="1" applyFill="1" applyProtection="1">
      <protection locked="0"/>
    </xf>
    <xf numFmtId="0" fontId="9" fillId="4" borderId="1" xfId="1" applyFont="1" applyFill="1" applyAlignment="1" applyProtection="1">
      <alignment horizontal="right"/>
      <protection locked="0"/>
    </xf>
    <xf numFmtId="0" fontId="10" fillId="0" borderId="0" xfId="0" applyFont="1" applyBorder="1"/>
    <xf numFmtId="9" fontId="10" fillId="0" borderId="0" xfId="0" applyNumberFormat="1" applyFont="1"/>
    <xf numFmtId="0" fontId="11" fillId="0" borderId="2" xfId="2" applyNumberFormat="1" applyFont="1" applyFill="1"/>
    <xf numFmtId="0" fontId="11" fillId="5" borderId="2" xfId="2" applyNumberFormat="1" applyFont="1" applyFill="1"/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/>
    </xf>
    <xf numFmtId="9" fontId="10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9" fontId="10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2" fillId="6" borderId="0" xfId="0" applyFont="1" applyFill="1" applyAlignment="1">
      <alignment horizontal="center" vertical="center" wrapText="1"/>
    </xf>
  </cellXfs>
  <cellStyles count="5">
    <cellStyle name="Calculation" xfId="3" builtinId="22"/>
    <cellStyle name="Explanatory Text" xfId="4" builtinId="53"/>
    <cellStyle name="Input" xfId="1" builtinId="20"/>
    <cellStyle name="Normal" xfId="0" builtinId="0"/>
    <cellStyle name="Output" xfId="2" builtinId="21"/>
  </cellStyles>
  <dxfs count="49"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rgb="FF3F3F3F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solid">
          <fgColor indexed="64"/>
          <bgColor theme="6" tint="0.39997558519241921"/>
        </patternFill>
      </fill>
      <alignment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indent="0" justifyLastLine="0" shrinkToFit="0" readingOrder="0"/>
    </dxf>
    <dxf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rgb="FF3F3F3F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solid">
          <fgColor indexed="64"/>
          <bgColor theme="6" tint="0.39997558519241921"/>
        </patternFill>
      </fill>
      <alignment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rgb="FF3F3F3F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solid">
          <fgColor indexed="64"/>
          <bgColor theme="6" tint="0.39997558519241921"/>
        </patternFill>
      </fill>
      <alignment textRotation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rgb="FF3F3F3F"/>
        </left>
        <right style="thin">
          <color rgb="FF3F3F3F"/>
        </right>
        <top style="thin">
          <color rgb="FF3F3F3F"/>
        </top>
        <bottom style="thin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rgb="FF3F3F3F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3F3F3F"/>
        <name val="Calibri"/>
        <scheme val="minor"/>
      </font>
      <fill>
        <patternFill patternType="solid">
          <fgColor indexed="64"/>
          <bgColor theme="6" tint="0.39997558519241921"/>
        </patternFill>
      </fill>
    </dxf>
    <dxf>
      <font>
        <strike val="0"/>
        <outline val="0"/>
        <shadow val="0"/>
        <u val="none"/>
        <vertAlign val="baseline"/>
        <sz val="14"/>
        <name val="Calibri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23813</xdr:colOff>
      <xdr:row>123</xdr:row>
      <xdr:rowOff>142879</xdr:rowOff>
    </xdr:from>
    <xdr:to>
      <xdr:col>6</xdr:col>
      <xdr:colOff>869156</xdr:colOff>
      <xdr:row>123</xdr:row>
      <xdr:rowOff>154785</xdr:rowOff>
    </xdr:to>
    <xdr:cxnSp macro="">
      <xdr:nvCxnSpPr>
        <xdr:cNvPr id="40" name="Straight Connector 39"/>
        <xdr:cNvCxnSpPr/>
      </xdr:nvCxnSpPr>
      <xdr:spPr>
        <a:xfrm>
          <a:off x="6631782" y="17478379"/>
          <a:ext cx="6334124" cy="119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35718</xdr:colOff>
      <xdr:row>91</xdr:row>
      <xdr:rowOff>178595</xdr:rowOff>
    </xdr:from>
    <xdr:to>
      <xdr:col>13</xdr:col>
      <xdr:colOff>11905</xdr:colOff>
      <xdr:row>103</xdr:row>
      <xdr:rowOff>11906</xdr:rowOff>
    </xdr:to>
    <xdr:sp macro="" textlink="">
      <xdr:nvSpPr>
        <xdr:cNvPr id="36" name="Rectangle 35"/>
        <xdr:cNvSpPr/>
      </xdr:nvSpPr>
      <xdr:spPr>
        <a:xfrm>
          <a:off x="8251031" y="11989595"/>
          <a:ext cx="9905999" cy="211931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6</xdr:col>
      <xdr:colOff>869157</xdr:colOff>
      <xdr:row>103</xdr:row>
      <xdr:rowOff>35719</xdr:rowOff>
    </xdr:from>
    <xdr:to>
      <xdr:col>7</xdr:col>
      <xdr:colOff>3</xdr:colOff>
      <xdr:row>123</xdr:row>
      <xdr:rowOff>154782</xdr:rowOff>
    </xdr:to>
    <xdr:cxnSp macro="">
      <xdr:nvCxnSpPr>
        <xdr:cNvPr id="42" name="Straight Arrow Connector 41"/>
        <xdr:cNvCxnSpPr/>
      </xdr:nvCxnSpPr>
      <xdr:spPr>
        <a:xfrm rot="16200000" flipV="1">
          <a:off x="11293080" y="15805546"/>
          <a:ext cx="3357563" cy="1190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Table1" displayName="Table1" ref="A32:E33" headerRowDxfId="48" dataDxfId="47" totalsRowDxfId="46" dataCellStyle="Output">
  <tableColumns count="5">
    <tableColumn id="10" name="vCenter Server Version" totalsRowLabel="vCenter Server 4.0 onwards" dataDxfId="45" dataCellStyle="Output"/>
    <tableColumn id="2" name="Potential Database size" totalsRowFunction="custom" dataDxfId="44" totalsRowDxfId="43" dataCellStyle="Output">
      <calculatedColumnFormula xml:space="preserve"> ROUNDUP((lvl1_samples_size +total_reports_size+total_p95_size), 2)</calculatedColumnFormula>
      <totalsRowFormula xml:space="preserve"> ROUNDUP((lvl1_samples_size +total_reports_size), 2)</totalsRowFormula>
    </tableColumn>
    <tableColumn id="8" name="Size + 20%" totalsRowFunction="custom" dataDxfId="42" totalsRowDxfId="41" dataCellStyle="Output">
      <calculatedColumnFormula xml:space="preserve"> ROUNDUP((B33 * 1.2), 2)</calculatedColumnFormula>
      <totalsRowFormula xml:space="preserve"> ROUNDUP((#REF! * 1.2), 2)</totalsRowFormula>
    </tableColumn>
    <tableColumn id="9" name="Size - 20%" dataDxfId="40" totalsRowDxfId="39" dataCellStyle="Output">
      <calculatedColumnFormula xml:space="preserve"> ROUNDUP((B33 * 0.8), 2)</calculatedColumnFormula>
    </tableColumn>
    <tableColumn id="3" name="Space for temporary Database" totalsRowFunction="sum" dataDxfId="38" totalsRowDxfId="37" dataCellStyle="Output">
      <calculatedColumnFormula xml:space="preserve"> ROUNDUP((0.1 * B33), 2)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37:E38" headerRowDxfId="36" dataDxfId="35" totalsRowDxfId="34" dataCellStyle="Output">
  <tableColumns count="5">
    <tableColumn id="10" name="vCenter Server Version" totalsRowLabel="vCenter Server 4.0 onwards" dataDxfId="33" dataCellStyle="Output"/>
    <tableColumn id="2" name="Potential Database size" totalsRowFunction="custom" dataDxfId="32" totalsRowDxfId="31" dataCellStyle="Output">
      <calculatedColumnFormula xml:space="preserve"> ROUNDUP((lvl3_samples_size +total_reports_size), 2)</calculatedColumnFormula>
      <totalsRowFormula xml:space="preserve"> ROUNDUP((lvl1_samples_size +total_reports_size), 2)</totalsRowFormula>
    </tableColumn>
    <tableColumn id="8" name="Size + 20%" totalsRowFunction="custom" dataDxfId="30" totalsRowDxfId="29" dataCellStyle="Output">
      <calculatedColumnFormula xml:space="preserve"> ROUNDUP((B38 * 1.2), 2)</calculatedColumnFormula>
      <totalsRowFormula xml:space="preserve"> ROUNDUP((#REF! * 1.2), 2)</totalsRowFormula>
    </tableColumn>
    <tableColumn id="9" name="Size - 20%" dataDxfId="28" totalsRowDxfId="27" dataCellStyle="Output">
      <calculatedColumnFormula xml:space="preserve"> ROUNDUP((B38 * 0.8), 2)</calculatedColumnFormula>
    </tableColumn>
    <tableColumn id="3" name="Space for temporary Database" totalsRowFunction="sum" dataDxfId="26" totalsRowDxfId="25" dataCellStyle="Output">
      <calculatedColumnFormula xml:space="preserve"> ROUNDUP((0.1 * B38), 2)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134" displayName="Table134" ref="A48:E49" headerRowDxfId="24" dataDxfId="23" totalsRowDxfId="22" dataCellStyle="Output">
  <tableColumns count="5">
    <tableColumn id="10" name="vCenter Server Version" totalsRowLabel="vCenter Server 4.0 onwards" dataDxfId="21" dataCellStyle="Output"/>
    <tableColumn id="2" name="Potential Database size" totalsRowFunction="custom" dataDxfId="20" totalsRowDxfId="19" dataCellStyle="Output">
      <calculatedColumnFormula xml:space="preserve"> ROUNDUP((lvl3_samples_size +total_reports_size), 2)</calculatedColumnFormula>
      <totalsRowFormula xml:space="preserve"> ROUNDUP((lvl1_samples_size +total_reports_size), 2)</totalsRowFormula>
    </tableColumn>
    <tableColumn id="8" name="Size + 20%" totalsRowFunction="custom" dataDxfId="18" totalsRowDxfId="17" dataCellStyle="Output">
      <calculatedColumnFormula xml:space="preserve"> ROUNDUP((B49 * 1.2), 2)</calculatedColumnFormula>
      <totalsRowFormula xml:space="preserve"> ROUNDUP((#REF! * 1.2), 2)</totalsRowFormula>
    </tableColumn>
    <tableColumn id="9" name="Size - 20%" dataDxfId="16" totalsRowDxfId="15" dataCellStyle="Output">
      <calculatedColumnFormula xml:space="preserve"> ROUNDUP((B49 * 0.8), 2)</calculatedColumnFormula>
    </tableColumn>
    <tableColumn id="3" name="Minimum Space for Control, Redo and system DBF files" totalsRowFunction="sum" dataDxfId="14" totalsRowDxfId="13" dataCellStyle="Output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e15" displayName="Table15" ref="A42:F43" headerRowDxfId="12" dataDxfId="11" totalsRowDxfId="10" dataCellStyle="Output">
  <tableColumns count="6">
    <tableColumn id="10" name="vCenter Server Version" totalsRowLabel="vCenter Server 4.0 onwards" dataDxfId="9" dataCellStyle="Output"/>
    <tableColumn id="2" name="Potential Database size" totalsRowFunction="custom" dataDxfId="8" totalsRowDxfId="7" dataCellStyle="Output">
      <calculatedColumnFormula xml:space="preserve"> ROUNDUP((lvl1_samples_size +total_reports_size+total_p95_size), 2)</calculatedColumnFormula>
      <totalsRowFormula xml:space="preserve"> ROUNDUP((lvl1_samples_size +total_reports_size), 2)</totalsRowFormula>
    </tableColumn>
    <tableColumn id="8" name="Size + 20%" totalsRowFunction="custom" dataDxfId="6" totalsRowDxfId="5" dataCellStyle="Output">
      <calculatedColumnFormula xml:space="preserve"> ROUNDUP((B43 * 1.2), 2)</calculatedColumnFormula>
      <totalsRowFormula xml:space="preserve"> ROUNDUP((#REF! * 1.2), 2)</totalsRowFormula>
    </tableColumn>
    <tableColumn id="9" name="Size - 20%" dataDxfId="4" totalsRowDxfId="3" dataCellStyle="Output">
      <calculatedColumnFormula xml:space="preserve"> ROUNDUP((B43 * 0.8), 2)</calculatedColumnFormula>
    </tableColumn>
    <tableColumn id="3" name="Minimum Space for Control, Redo and system DBF files" totalsRowFunction="sum" dataDxfId="2" totalsRowDxfId="1" dataCellStyle="Output"/>
    <tableColumn id="1" name="Unit" dataDxfId="0" dataCellStyle="Output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32"/>
  <sheetViews>
    <sheetView tabSelected="1" topLeftCell="A14" zoomScale="85" zoomScaleNormal="85" workbookViewId="0">
      <selection activeCell="B6" sqref="B6"/>
    </sheetView>
  </sheetViews>
  <sheetFormatPr defaultRowHeight="15" x14ac:dyDescent="0.25"/>
  <cols>
    <col min="1" max="1" width="76.7109375" customWidth="1"/>
    <col min="2" max="2" width="30.85546875" customWidth="1"/>
    <col min="3" max="3" width="14.5703125" bestFit="1" customWidth="1"/>
    <col min="4" max="4" width="22.85546875" customWidth="1"/>
    <col min="5" max="5" width="41.140625" bestFit="1" customWidth="1"/>
    <col min="6" max="6" width="8" customWidth="1"/>
    <col min="7" max="7" width="13.28515625" customWidth="1"/>
    <col min="12" max="12" width="32" bestFit="1" customWidth="1"/>
  </cols>
  <sheetData>
    <row r="1" spans="1:5" s="7" customFormat="1" ht="18.75" x14ac:dyDescent="0.3">
      <c r="A1" s="10" t="s">
        <v>79</v>
      </c>
      <c r="B1" s="11" t="s">
        <v>86</v>
      </c>
      <c r="C1" s="12"/>
      <c r="D1" s="12"/>
      <c r="E1" s="12"/>
    </row>
    <row r="2" spans="1:5" s="7" customFormat="1" ht="18.75" x14ac:dyDescent="0.3">
      <c r="A2" s="12"/>
      <c r="B2" s="12"/>
      <c r="C2" s="12"/>
      <c r="D2" s="12"/>
      <c r="E2" s="12"/>
    </row>
    <row r="3" spans="1:5" ht="18.75" x14ac:dyDescent="0.3">
      <c r="A3" s="10" t="s">
        <v>16</v>
      </c>
      <c r="B3" s="13"/>
      <c r="C3" s="12"/>
      <c r="D3" s="12"/>
      <c r="E3" s="12"/>
    </row>
    <row r="4" spans="1:5" ht="18.75" x14ac:dyDescent="0.3">
      <c r="A4" s="10" t="s">
        <v>19</v>
      </c>
      <c r="B4" s="13"/>
      <c r="C4" s="12"/>
      <c r="D4" s="12"/>
      <c r="E4" s="12"/>
    </row>
    <row r="5" spans="1:5" s="7" customFormat="1" ht="18.75" x14ac:dyDescent="0.3">
      <c r="A5" s="12" t="s">
        <v>33</v>
      </c>
      <c r="B5" s="14">
        <v>1</v>
      </c>
      <c r="C5" s="12"/>
      <c r="D5" s="12" t="s">
        <v>1</v>
      </c>
      <c r="E5" s="12"/>
    </row>
    <row r="6" spans="1:5" s="7" customFormat="1" ht="18.75" x14ac:dyDescent="0.3">
      <c r="A6" s="12" t="s">
        <v>46</v>
      </c>
      <c r="B6" s="14">
        <v>10</v>
      </c>
      <c r="C6" s="12"/>
      <c r="D6" s="12"/>
      <c r="E6" s="12"/>
    </row>
    <row r="7" spans="1:5" s="7" customFormat="1" ht="18.75" x14ac:dyDescent="0.3">
      <c r="A7" s="12" t="s">
        <v>49</v>
      </c>
      <c r="B7" s="14">
        <v>1000</v>
      </c>
      <c r="C7" s="12"/>
      <c r="D7" s="12"/>
      <c r="E7" s="12"/>
    </row>
    <row r="8" spans="1:5" s="7" customFormat="1" ht="18.75" x14ac:dyDescent="0.3">
      <c r="A8" s="12" t="s">
        <v>2</v>
      </c>
      <c r="B8" s="14">
        <v>2</v>
      </c>
      <c r="C8" s="12"/>
      <c r="D8" s="12"/>
      <c r="E8" s="12"/>
    </row>
    <row r="9" spans="1:5" s="7" customFormat="1" ht="18.75" x14ac:dyDescent="0.3">
      <c r="A9" s="12" t="s">
        <v>47</v>
      </c>
      <c r="B9" s="14">
        <v>2</v>
      </c>
      <c r="C9" s="12"/>
      <c r="D9" s="12"/>
      <c r="E9" s="12"/>
    </row>
    <row r="10" spans="1:5" s="7" customFormat="1" ht="18.75" x14ac:dyDescent="0.3">
      <c r="A10" s="12" t="s">
        <v>48</v>
      </c>
      <c r="B10" s="14">
        <v>4</v>
      </c>
      <c r="C10" s="12"/>
      <c r="D10" s="12"/>
      <c r="E10" s="12"/>
    </row>
    <row r="11" spans="1:5" s="7" customFormat="1" ht="18.75" x14ac:dyDescent="0.3">
      <c r="A11" s="12" t="s">
        <v>54</v>
      </c>
      <c r="B11" s="15" t="s">
        <v>50</v>
      </c>
      <c r="C11" s="12"/>
      <c r="D11" s="12"/>
      <c r="E11" s="12"/>
    </row>
    <row r="12" spans="1:5" ht="18.75" x14ac:dyDescent="0.3">
      <c r="A12" s="12" t="s">
        <v>53</v>
      </c>
      <c r="B12" s="15">
        <v>1</v>
      </c>
      <c r="C12" s="12"/>
      <c r="D12" s="12"/>
      <c r="E12" s="12"/>
    </row>
    <row r="13" spans="1:5" s="7" customFormat="1" ht="18.75" x14ac:dyDescent="0.3">
      <c r="A13" s="12" t="s">
        <v>51</v>
      </c>
      <c r="B13" s="11" t="s">
        <v>84</v>
      </c>
      <c r="C13" s="12"/>
      <c r="D13" s="12"/>
      <c r="E13" s="12"/>
    </row>
    <row r="14" spans="1:5" s="7" customFormat="1" ht="18.75" x14ac:dyDescent="0.3">
      <c r="A14" s="12"/>
      <c r="B14" s="13"/>
      <c r="C14" s="12"/>
      <c r="D14" s="12"/>
      <c r="E14" s="12"/>
    </row>
    <row r="15" spans="1:5" s="7" customFormat="1" ht="18.75" hidden="1" x14ac:dyDescent="0.3">
      <c r="A15" s="10" t="s">
        <v>52</v>
      </c>
      <c r="B15" s="12"/>
      <c r="C15" s="12"/>
      <c r="D15" s="12"/>
      <c r="E15" s="12"/>
    </row>
    <row r="16" spans="1:5" s="7" customFormat="1" ht="18.75" hidden="1" x14ac:dyDescent="0.3">
      <c r="A16" s="12" t="s">
        <v>45</v>
      </c>
      <c r="B16" s="14">
        <v>5</v>
      </c>
      <c r="C16" s="12"/>
      <c r="D16" s="12"/>
      <c r="E16" s="12"/>
    </row>
    <row r="17" spans="1:5" ht="18.75" hidden="1" x14ac:dyDescent="0.3">
      <c r="A17" s="12"/>
      <c r="B17" s="12"/>
      <c r="C17" s="12"/>
      <c r="D17" s="12"/>
      <c r="E17" s="12"/>
    </row>
    <row r="18" spans="1:5" ht="18.75" x14ac:dyDescent="0.3">
      <c r="A18" s="10" t="s">
        <v>61</v>
      </c>
      <c r="B18" s="12"/>
      <c r="C18" s="12"/>
      <c r="D18" s="12"/>
      <c r="E18" s="12"/>
    </row>
    <row r="19" spans="1:5" ht="18.75" x14ac:dyDescent="0.3">
      <c r="A19" s="12" t="s">
        <v>12</v>
      </c>
      <c r="B19" s="15">
        <v>50</v>
      </c>
      <c r="C19" s="12"/>
      <c r="D19" s="12"/>
      <c r="E19" s="12"/>
    </row>
    <row r="20" spans="1:5" ht="18.75" x14ac:dyDescent="0.3">
      <c r="A20" s="12" t="s">
        <v>55</v>
      </c>
      <c r="B20" s="15">
        <v>5</v>
      </c>
      <c r="C20" s="12"/>
      <c r="D20" s="12"/>
      <c r="E20" s="12"/>
    </row>
    <row r="21" spans="1:5" ht="18.75" x14ac:dyDescent="0.3">
      <c r="A21" s="12" t="s">
        <v>85</v>
      </c>
      <c r="B21" s="15">
        <v>1</v>
      </c>
      <c r="C21" s="12"/>
      <c r="D21" s="12"/>
      <c r="E21" s="12"/>
    </row>
    <row r="22" spans="1:5" ht="18.75" x14ac:dyDescent="0.3">
      <c r="A22" s="12" t="s">
        <v>10</v>
      </c>
      <c r="B22" s="15">
        <v>1</v>
      </c>
      <c r="C22" s="12"/>
      <c r="D22" s="12"/>
      <c r="E22" s="12"/>
    </row>
    <row r="23" spans="1:5" ht="18.75" x14ac:dyDescent="0.3">
      <c r="A23" s="12" t="s">
        <v>72</v>
      </c>
      <c r="B23" s="15">
        <v>5</v>
      </c>
      <c r="C23" s="12"/>
      <c r="D23" s="12"/>
      <c r="E23" s="12"/>
    </row>
    <row r="24" spans="1:5" ht="18.75" x14ac:dyDescent="0.3">
      <c r="A24" s="12"/>
      <c r="B24" s="12"/>
      <c r="C24" s="12"/>
      <c r="D24" s="16"/>
      <c r="E24" s="12"/>
    </row>
    <row r="25" spans="1:5" s="1" customFormat="1" ht="18.75" x14ac:dyDescent="0.3">
      <c r="A25" s="10" t="s">
        <v>20</v>
      </c>
      <c r="B25" s="10"/>
      <c r="C25" s="10"/>
      <c r="D25" s="10"/>
      <c r="E25" s="10"/>
    </row>
    <row r="26" spans="1:5" ht="18.75" x14ac:dyDescent="0.3">
      <c r="A26" s="12" t="s">
        <v>13</v>
      </c>
      <c r="B26" s="14">
        <v>5</v>
      </c>
      <c r="C26" s="12"/>
      <c r="D26" s="12"/>
      <c r="E26" s="12"/>
    </row>
    <row r="27" spans="1:5" ht="18.75" x14ac:dyDescent="0.3">
      <c r="A27" s="12"/>
      <c r="B27" s="12"/>
      <c r="C27" s="12"/>
      <c r="D27" s="12"/>
      <c r="E27" s="12"/>
    </row>
    <row r="28" spans="1:5" ht="18.75" x14ac:dyDescent="0.3">
      <c r="A28" s="10"/>
      <c r="B28" s="10"/>
      <c r="C28" s="12"/>
      <c r="D28" s="12"/>
      <c r="E28" s="12"/>
    </row>
    <row r="29" spans="1:5" ht="18.75" x14ac:dyDescent="0.3">
      <c r="A29" s="12"/>
      <c r="B29" s="12"/>
      <c r="C29" s="12"/>
      <c r="D29" s="12"/>
      <c r="E29" s="12"/>
    </row>
    <row r="30" spans="1:5" ht="18.75" x14ac:dyDescent="0.3">
      <c r="A30" s="12"/>
      <c r="B30" s="12"/>
      <c r="C30" s="12"/>
      <c r="D30" s="12"/>
      <c r="E30" s="12"/>
    </row>
    <row r="31" spans="1:5" ht="18.75" hidden="1" x14ac:dyDescent="0.3">
      <c r="A31" s="10" t="s">
        <v>70</v>
      </c>
      <c r="B31" s="12"/>
      <c r="C31" s="12"/>
      <c r="D31" s="12"/>
      <c r="E31" s="12"/>
    </row>
    <row r="32" spans="1:5" ht="18.75" hidden="1" x14ac:dyDescent="0.3">
      <c r="A32" s="12" t="s">
        <v>68</v>
      </c>
      <c r="B32" s="12" t="s">
        <v>67</v>
      </c>
      <c r="C32" s="17" t="s">
        <v>25</v>
      </c>
      <c r="D32" s="17" t="s">
        <v>26</v>
      </c>
      <c r="E32" s="10" t="s">
        <v>29</v>
      </c>
    </row>
    <row r="33" spans="1:6" ht="18.75" hidden="1" x14ac:dyDescent="0.3">
      <c r="A33" s="18" t="s">
        <v>66</v>
      </c>
      <c r="B33" s="19">
        <f xml:space="preserve"> ROUNDUP((lvl1_samples_size +total_reports_size+total_p95_size), 2)</f>
        <v>49.78</v>
      </c>
      <c r="C33" s="19">
        <f xml:space="preserve"> ROUNDUP((B33 * 1.2), 2)</f>
        <v>59.739999999999995</v>
      </c>
      <c r="D33" s="19">
        <f xml:space="preserve"> ROUNDUP((B33 * 0.8), 2)</f>
        <v>39.83</v>
      </c>
      <c r="E33" s="19">
        <f t="shared" ref="E33" si="0" xml:space="preserve"> ROUNDUP((0.1 * B33), 2)</f>
        <v>4.9799999999999995</v>
      </c>
    </row>
    <row r="34" spans="1:6" ht="18.75" hidden="1" customHeight="1" x14ac:dyDescent="0.25"/>
    <row r="35" spans="1:6" hidden="1" x14ac:dyDescent="0.25"/>
    <row r="36" spans="1:6" ht="18.75" hidden="1" x14ac:dyDescent="0.3">
      <c r="A36" s="10" t="s">
        <v>70</v>
      </c>
      <c r="B36" s="12"/>
      <c r="C36" s="12"/>
      <c r="D36" s="12"/>
      <c r="E36" s="12"/>
      <c r="F36" s="12"/>
    </row>
    <row r="37" spans="1:6" s="8" customFormat="1" ht="18.75" hidden="1" x14ac:dyDescent="0.3">
      <c r="A37" s="20" t="s">
        <v>68</v>
      </c>
      <c r="B37" s="21" t="s">
        <v>67</v>
      </c>
      <c r="C37" s="22" t="s">
        <v>25</v>
      </c>
      <c r="D37" s="22" t="s">
        <v>26</v>
      </c>
      <c r="E37" s="23" t="s">
        <v>29</v>
      </c>
      <c r="F37" s="24"/>
    </row>
    <row r="38" spans="1:6" ht="18.75" hidden="1" x14ac:dyDescent="0.3">
      <c r="A38" s="18" t="s">
        <v>66</v>
      </c>
      <c r="B38" s="19">
        <f xml:space="preserve"> ROUNDUP((lvl3_samples_size +total_reports_size), 2)</f>
        <v>74.77000000000001</v>
      </c>
      <c r="C38" s="19">
        <f t="shared" ref="C38" si="1" xml:space="preserve"> ROUNDUP((B38 * 1.2), 2)</f>
        <v>89.73</v>
      </c>
      <c r="D38" s="19">
        <f xml:space="preserve"> ROUNDUP((B38 * 0.8), 2)</f>
        <v>59.82</v>
      </c>
      <c r="E38" s="19">
        <f t="shared" ref="E38" si="2" xml:space="preserve"> ROUNDUP((0.1 * B38), 2)</f>
        <v>7.4799999999999995</v>
      </c>
      <c r="F38" s="12"/>
    </row>
    <row r="39" spans="1:6" ht="18.75" hidden="1" x14ac:dyDescent="0.3">
      <c r="A39" s="12"/>
      <c r="B39" s="12"/>
      <c r="C39" s="12"/>
      <c r="D39" s="12"/>
      <c r="E39" s="12"/>
      <c r="F39" s="12"/>
    </row>
    <row r="40" spans="1:6" ht="18.75" x14ac:dyDescent="0.3">
      <c r="A40" s="12"/>
      <c r="B40" s="12"/>
      <c r="C40" s="12"/>
      <c r="D40" s="12"/>
      <c r="E40" s="12"/>
      <c r="F40" s="12"/>
    </row>
    <row r="41" spans="1:6" ht="18.75" x14ac:dyDescent="0.3">
      <c r="A41" s="10" t="s">
        <v>70</v>
      </c>
      <c r="B41" s="12"/>
      <c r="C41" s="12"/>
      <c r="D41" s="12"/>
      <c r="E41" s="12"/>
      <c r="F41" s="12"/>
    </row>
    <row r="42" spans="1:6" ht="37.5" x14ac:dyDescent="0.25">
      <c r="A42" s="25" t="s">
        <v>68</v>
      </c>
      <c r="B42" s="25" t="s">
        <v>67</v>
      </c>
      <c r="C42" s="26" t="s">
        <v>25</v>
      </c>
      <c r="D42" s="26" t="s">
        <v>26</v>
      </c>
      <c r="E42" s="27" t="s">
        <v>77</v>
      </c>
      <c r="F42" s="25" t="s">
        <v>78</v>
      </c>
    </row>
    <row r="43" spans="1:6" ht="18.75" x14ac:dyDescent="0.3">
      <c r="A43" s="18" t="s">
        <v>66</v>
      </c>
      <c r="B43" s="19">
        <f xml:space="preserve"> ROUNDUP((lvl1_samples_size +total_reports_size+total_p95_size), 2)</f>
        <v>49.78</v>
      </c>
      <c r="C43" s="19">
        <f xml:space="preserve"> ROUNDUP((B43 * 1.2), 2)</f>
        <v>59.739999999999995</v>
      </c>
      <c r="D43" s="19">
        <f xml:space="preserve"> ROUNDUP((B43 * 0.8), 2)</f>
        <v>39.83</v>
      </c>
      <c r="E43" s="19">
        <v>2</v>
      </c>
      <c r="F43" s="19" t="s">
        <v>6</v>
      </c>
    </row>
    <row r="44" spans="1:6" ht="18.75" x14ac:dyDescent="0.3">
      <c r="A44" s="12"/>
      <c r="B44" s="12"/>
      <c r="C44" s="12"/>
      <c r="D44" s="12"/>
      <c r="E44" s="12"/>
      <c r="F44" s="12"/>
    </row>
    <row r="45" spans="1:6" ht="18.75" x14ac:dyDescent="0.3">
      <c r="A45" s="12"/>
      <c r="B45" s="12"/>
      <c r="C45" s="12"/>
      <c r="D45" s="12"/>
      <c r="E45" s="12"/>
      <c r="F45" s="12"/>
    </row>
    <row r="46" spans="1:6" ht="15" customHeight="1" x14ac:dyDescent="0.3">
      <c r="A46" s="12"/>
      <c r="B46" s="12"/>
      <c r="C46" s="12"/>
      <c r="D46" s="12"/>
      <c r="E46" s="12"/>
      <c r="F46" s="12"/>
    </row>
    <row r="47" spans="1:6" ht="18.75" hidden="1" x14ac:dyDescent="0.3">
      <c r="A47" s="10" t="s">
        <v>70</v>
      </c>
      <c r="B47" s="12"/>
      <c r="C47" s="12"/>
      <c r="D47" s="12"/>
      <c r="E47" s="12"/>
      <c r="F47" s="12"/>
    </row>
    <row r="48" spans="1:6" ht="37.5" hidden="1" x14ac:dyDescent="0.25">
      <c r="A48" s="25" t="s">
        <v>68</v>
      </c>
      <c r="B48" s="25" t="s">
        <v>67</v>
      </c>
      <c r="C48" s="26" t="s">
        <v>25</v>
      </c>
      <c r="D48" s="26" t="s">
        <v>26</v>
      </c>
      <c r="E48" s="28" t="s">
        <v>77</v>
      </c>
      <c r="F48" s="29" t="s">
        <v>78</v>
      </c>
    </row>
    <row r="49" spans="1:6" ht="18.75" hidden="1" x14ac:dyDescent="0.3">
      <c r="A49" s="18" t="s">
        <v>66</v>
      </c>
      <c r="B49" s="19">
        <f xml:space="preserve"> ROUNDUP((lvl3_samples_size +total_reports_size), 2)</f>
        <v>74.77000000000001</v>
      </c>
      <c r="C49" s="19">
        <f xml:space="preserve"> ROUNDUP((B49 * 1.2), 2)</f>
        <v>89.73</v>
      </c>
      <c r="D49" s="19">
        <f xml:space="preserve"> ROUNDUP((B49 * 0.8), 2)</f>
        <v>59.82</v>
      </c>
      <c r="E49" s="19">
        <v>2</v>
      </c>
      <c r="F49" s="19" t="s">
        <v>6</v>
      </c>
    </row>
    <row r="59" spans="1:6" ht="18.75" customHeight="1" x14ac:dyDescent="0.25"/>
    <row r="62" spans="1:6" ht="19.5" customHeight="1" x14ac:dyDescent="0.25"/>
    <row r="66" spans="1:5" hidden="1" x14ac:dyDescent="0.25"/>
    <row r="67" spans="1:5" hidden="1" x14ac:dyDescent="0.25"/>
    <row r="68" spans="1:5" hidden="1" x14ac:dyDescent="0.25"/>
    <row r="69" spans="1:5" hidden="1" x14ac:dyDescent="0.25"/>
    <row r="70" spans="1:5" hidden="1" x14ac:dyDescent="0.25">
      <c r="A70" s="1" t="s">
        <v>69</v>
      </c>
    </row>
    <row r="71" spans="1:5" hidden="1" x14ac:dyDescent="0.25">
      <c r="A71" t="s">
        <v>5</v>
      </c>
      <c r="B71" s="6">
        <v>0</v>
      </c>
    </row>
    <row r="72" spans="1:5" hidden="1" x14ac:dyDescent="0.25">
      <c r="A72" t="s">
        <v>27</v>
      </c>
      <c r="B72" s="6">
        <v>1</v>
      </c>
    </row>
    <row r="73" spans="1:5" hidden="1" x14ac:dyDescent="0.25">
      <c r="A73" t="s">
        <v>38</v>
      </c>
      <c r="B73" s="6">
        <v>5</v>
      </c>
    </row>
    <row r="74" spans="1:5" hidden="1" x14ac:dyDescent="0.25">
      <c r="A74" t="s">
        <v>73</v>
      </c>
      <c r="B74" s="9">
        <v>10</v>
      </c>
      <c r="C74" t="s">
        <v>74</v>
      </c>
    </row>
    <row r="75" spans="1:5" hidden="1" x14ac:dyDescent="0.25"/>
    <row r="76" spans="1:5" hidden="1" x14ac:dyDescent="0.25">
      <c r="A76" t="s">
        <v>7</v>
      </c>
      <c r="B76" s="6">
        <v>20</v>
      </c>
    </row>
    <row r="77" spans="1:5" hidden="1" x14ac:dyDescent="0.25">
      <c r="A77" t="s">
        <v>14</v>
      </c>
      <c r="B77" s="6">
        <v>75</v>
      </c>
    </row>
    <row r="78" spans="1:5" hidden="1" x14ac:dyDescent="0.25"/>
    <row r="79" spans="1:5" hidden="1" x14ac:dyDescent="0.25"/>
    <row r="80" spans="1:5" hidden="1" x14ac:dyDescent="0.25">
      <c r="A80" s="2" t="s">
        <v>63</v>
      </c>
      <c r="B80" s="3"/>
      <c r="C80" s="3"/>
      <c r="D80" s="3"/>
      <c r="E80" s="3"/>
    </row>
    <row r="81" spans="1:13" s="3" customFormat="1" hidden="1" x14ac:dyDescent="0.25">
      <c r="A81" s="3" t="s">
        <v>57</v>
      </c>
      <c r="B81" s="4">
        <f>(num_vcs*num_vms_per_vc)</f>
        <v>10000</v>
      </c>
    </row>
    <row r="82" spans="1:13" s="3" customFormat="1" hidden="1" x14ac:dyDescent="0.25">
      <c r="A82" s="3" t="s">
        <v>56</v>
      </c>
      <c r="B82" s="4">
        <f xml:space="preserve"> (((duration * 365) - 1) * 1 * (total_num_vms - (short_lived_vms * 12 * duration)))</f>
        <v>3640000</v>
      </c>
    </row>
    <row r="83" spans="1:13" s="3" customFormat="1" hidden="1" x14ac:dyDescent="0.25">
      <c r="A83" s="3" t="s">
        <v>58</v>
      </c>
      <c r="B83" s="4">
        <f>(2* total_num_vms *((12*24)+48+12))</f>
        <v>6960000</v>
      </c>
    </row>
    <row r="84" spans="1:13" s="3" customFormat="1" hidden="1" x14ac:dyDescent="0.25">
      <c r="A84" s="3" t="s">
        <v>59</v>
      </c>
      <c r="B84" s="4">
        <v>4</v>
      </c>
    </row>
    <row r="85" spans="1:13" s="3" customFormat="1" hidden="1" x14ac:dyDescent="0.25">
      <c r="A85" s="3" t="s">
        <v>34</v>
      </c>
      <c r="B85" s="4">
        <f xml:space="preserve"> (8 + num_vcpus_per_vm + 2 * (num_net_devs_per_vm + num_disk_devs_per_vm))</f>
        <v>22</v>
      </c>
      <c r="D85" s="4">
        <f xml:space="preserve"> (4 + num_vcpus_per_vm + 2 * (num_net_devs_per_vm + num_disk_devs_per_vm))</f>
        <v>18</v>
      </c>
      <c r="E85" s="3" t="s">
        <v>32</v>
      </c>
    </row>
    <row r="86" spans="1:13" s="3" customFormat="1" hidden="1" x14ac:dyDescent="0.25">
      <c r="A86" s="3" t="s">
        <v>62</v>
      </c>
      <c r="B86" s="4">
        <f>(IF(db_type="SQL Server",141,141))</f>
        <v>141</v>
      </c>
      <c r="C86" s="3" t="s">
        <v>4</v>
      </c>
    </row>
    <row r="87" spans="1:13" s="3" customFormat="1" hidden="1" x14ac:dyDescent="0.25">
      <c r="B87" s="4"/>
    </row>
    <row r="88" spans="1:13" s="3" customFormat="1" hidden="1" x14ac:dyDescent="0.25">
      <c r="A88" s="3" t="s">
        <v>60</v>
      </c>
      <c r="B88" s="4">
        <f xml:space="preserve"> IFERROR((total_num_vms / num_vms_per_vapp), 0)</f>
        <v>2000</v>
      </c>
    </row>
    <row r="89" spans="1:13" s="3" customFormat="1" hidden="1" x14ac:dyDescent="0.25">
      <c r="A89" s="3" t="s">
        <v>35</v>
      </c>
      <c r="B89" s="4">
        <f>IF(stand_alone_cb&lt;&gt;"yes",(IFERROR(((num_rtd_nw_per_org*num_orgs)+(num_rtd_nw_per_vapp*total_num_vapps))*1*duration*365*24*(60/bband_stats_interval),0)),0)</f>
        <v>215496000</v>
      </c>
    </row>
    <row r="90" spans="1:13" s="3" customFormat="1" hidden="1" x14ac:dyDescent="0.25">
      <c r="B90" s="4"/>
    </row>
    <row r="91" spans="1:13" s="3" customFormat="1" hidden="1" x14ac:dyDescent="0.25">
      <c r="A91" s="1" t="s">
        <v>28</v>
      </c>
      <c r="B91" s="4"/>
    </row>
    <row r="92" spans="1:13" s="3" customFormat="1" hidden="1" x14ac:dyDescent="0.25">
      <c r="A92" s="3" t="s">
        <v>11</v>
      </c>
      <c r="B92" s="4">
        <f xml:space="preserve"> (num_daily_samples + num_non_daily_samples) * num_lvl1_counters</f>
        <v>42400000</v>
      </c>
    </row>
    <row r="93" spans="1:13" s="3" customFormat="1" hidden="1" x14ac:dyDescent="0.25">
      <c r="B93" s="4"/>
      <c r="F93" s="2" t="s">
        <v>44</v>
      </c>
    </row>
    <row r="94" spans="1:13" s="3" customFormat="1" hidden="1" x14ac:dyDescent="0.25">
      <c r="A94" s="3" t="s">
        <v>3</v>
      </c>
      <c r="B94" s="4">
        <f xml:space="preserve"> (num_non_vcloud_lvl1_samples + num_ext_trafic_samples)</f>
        <v>257896000</v>
      </c>
      <c r="F94" s="5" t="s">
        <v>65</v>
      </c>
      <c r="G94" s="5"/>
      <c r="H94" s="5"/>
      <c r="I94" s="5"/>
      <c r="J94" s="5"/>
      <c r="K94" s="5"/>
      <c r="L94" s="5">
        <f xml:space="preserve"> (IF(stand_alone_cb="Yes",num_hierarchies, num_orgs))</f>
        <v>50</v>
      </c>
    </row>
    <row r="95" spans="1:13" s="3" customFormat="1" hidden="1" x14ac:dyDescent="0.25">
      <c r="B95" s="4"/>
      <c r="F95" s="5" t="s">
        <v>43</v>
      </c>
      <c r="G95" s="5"/>
      <c r="H95" s="5"/>
      <c r="I95" s="5"/>
      <c r="J95" s="5"/>
      <c r="K95" s="5"/>
      <c r="L95" s="5">
        <f>(num_reports_per_hier_per_mon* (total_num_hiearchies))</f>
        <v>250</v>
      </c>
    </row>
    <row r="96" spans="1:13" s="3" customFormat="1" hidden="1" x14ac:dyDescent="0.25">
      <c r="A96" s="3" t="s">
        <v>8</v>
      </c>
      <c r="B96" s="4">
        <f xml:space="preserve"> IF(is_vc_stats_enabled="Yes", (total_num_lvl1_samples * ave_stat_rec_size) / (1024 * 1024 * 1024), 0)</f>
        <v>33.865995705127716</v>
      </c>
      <c r="C96" s="3" t="s">
        <v>6</v>
      </c>
      <c r="F96" s="5" t="s">
        <v>37</v>
      </c>
      <c r="G96" s="5"/>
      <c r="H96" s="5"/>
      <c r="I96" s="5"/>
      <c r="J96" s="5"/>
      <c r="K96" s="5"/>
      <c r="L96" s="5">
        <f>(avg_report_entity_wout_cres_size+(avg_report_entity_with_cres_size*num_report_comp_res))</f>
        <v>3.34375</v>
      </c>
      <c r="M96" s="5"/>
    </row>
    <row r="97" spans="1:13" s="3" customFormat="1" hidden="1" x14ac:dyDescent="0.25">
      <c r="B97" s="4"/>
      <c r="F97" s="5" t="s">
        <v>39</v>
      </c>
      <c r="G97" s="5"/>
      <c r="H97" s="5"/>
      <c r="I97" s="5"/>
      <c r="J97" s="5"/>
      <c r="K97" s="5"/>
      <c r="L97" s="5">
        <f>(avg_report_entity_wout_cres_detail_size+(avg_report_entity_with_cres_detail_size*num_report_comp_res *num_cost_config_chnges))</f>
        <v>14.6</v>
      </c>
      <c r="M97" s="5" t="s">
        <v>9</v>
      </c>
    </row>
    <row r="98" spans="1:13" s="3" customFormat="1" hidden="1" x14ac:dyDescent="0.25">
      <c r="A98" s="1" t="s">
        <v>30</v>
      </c>
      <c r="B98" s="4"/>
      <c r="F98" s="5" t="s">
        <v>40</v>
      </c>
      <c r="G98" s="5"/>
      <c r="H98" s="5"/>
      <c r="I98" s="5"/>
      <c r="J98" s="5"/>
      <c r="K98" s="5"/>
      <c r="L98" s="5">
        <f xml:space="preserve"> (total_report_entity_summary_size + total_report_entity_detail_size)</f>
        <v>17.943750000000001</v>
      </c>
      <c r="M98" s="5" t="s">
        <v>9</v>
      </c>
    </row>
    <row r="99" spans="1:13" s="3" customFormat="1" hidden="1" x14ac:dyDescent="0.25">
      <c r="A99" s="3" t="s">
        <v>11</v>
      </c>
      <c r="B99" s="4">
        <f xml:space="preserve"> (num_daily_samples + num_non_daily_samples) * num_vc4_lvl3_counters</f>
        <v>233200000</v>
      </c>
      <c r="F99" s="5" t="s">
        <v>41</v>
      </c>
      <c r="G99" s="5"/>
      <c r="H99" s="5"/>
      <c r="I99" s="5"/>
      <c r="J99" s="5"/>
      <c r="K99" s="5"/>
      <c r="L99" s="5">
        <f xml:space="preserve"> (num_report_entities+num_hier_chnges)</f>
        <v>225</v>
      </c>
    </row>
    <row r="100" spans="1:13" s="3" customFormat="1" hidden="1" x14ac:dyDescent="0.25">
      <c r="B100" s="4"/>
      <c r="F100" s="5" t="s">
        <v>42</v>
      </c>
      <c r="G100" s="5"/>
      <c r="H100" s="5"/>
      <c r="I100" s="5"/>
      <c r="J100" s="5"/>
      <c r="K100" s="5"/>
      <c r="L100" s="5">
        <f>(report_entity_size_per_mon*total_num_report_entities_per_mon*num_reports_per_mon * duration * 12)</f>
        <v>12112031.250000002</v>
      </c>
      <c r="M100" s="5" t="s">
        <v>9</v>
      </c>
    </row>
    <row r="101" spans="1:13" s="3" customFormat="1" hidden="1" x14ac:dyDescent="0.25">
      <c r="A101" s="3" t="s">
        <v>3</v>
      </c>
      <c r="B101" s="4">
        <f xml:space="preserve"> (num_non_vcloud_lvl3_samples + num_ext_trafic_samples)</f>
        <v>448696000</v>
      </c>
      <c r="F101" s="5" t="s">
        <v>22</v>
      </c>
      <c r="G101" s="5"/>
      <c r="H101" s="5"/>
      <c r="I101" s="5"/>
      <c r="J101" s="5"/>
      <c r="K101" s="5"/>
      <c r="L101" s="5">
        <f xml:space="preserve"> (avg_exp_report_page_size*num_report_pages)</f>
        <v>1500</v>
      </c>
      <c r="M101" s="5" t="s">
        <v>9</v>
      </c>
    </row>
    <row r="102" spans="1:13" s="3" customFormat="1" hidden="1" x14ac:dyDescent="0.25">
      <c r="B102" s="4"/>
      <c r="F102" s="5" t="s">
        <v>23</v>
      </c>
      <c r="G102" s="5"/>
      <c r="H102" s="5"/>
      <c r="I102" s="5"/>
      <c r="J102" s="5"/>
      <c r="K102" s="5"/>
      <c r="L102" s="5">
        <f xml:space="preserve"> (exp_report_size * num_reports_per_mon * duration * 12)</f>
        <v>4500000</v>
      </c>
      <c r="M102" s="5" t="s">
        <v>9</v>
      </c>
    </row>
    <row r="103" spans="1:13" s="3" customFormat="1" hidden="1" x14ac:dyDescent="0.25">
      <c r="A103" s="3" t="s">
        <v>8</v>
      </c>
      <c r="B103" s="4">
        <f xml:space="preserve"> IF(is_vc_stats_enabled="Yes",(total_num_lvl3_samples * ave_stat_rec_size) / (1024 * 1024 * 1024), 0)</f>
        <v>58.921180665493011</v>
      </c>
      <c r="C103" s="3" t="s">
        <v>6</v>
      </c>
      <c r="F103" s="5"/>
      <c r="G103" s="5"/>
      <c r="H103" s="5"/>
      <c r="I103" s="5"/>
      <c r="J103" s="5"/>
      <c r="K103" s="5"/>
      <c r="L103" s="5"/>
    </row>
    <row r="104" spans="1:13" s="3" customFormat="1" hidden="1" x14ac:dyDescent="0.25">
      <c r="B104" s="4"/>
      <c r="F104" s="5"/>
      <c r="L104" s="5"/>
      <c r="M104" s="5"/>
    </row>
    <row r="105" spans="1:13" s="3" customFormat="1" hidden="1" x14ac:dyDescent="0.25">
      <c r="B105" s="4"/>
    </row>
    <row r="106" spans="1:13" s="3" customFormat="1" hidden="1" x14ac:dyDescent="0.25">
      <c r="A106" s="1" t="s">
        <v>31</v>
      </c>
      <c r="B106" s="4"/>
    </row>
    <row r="107" spans="1:13" s="3" customFormat="1" hidden="1" x14ac:dyDescent="0.25">
      <c r="A107" s="3" t="s">
        <v>11</v>
      </c>
      <c r="B107" s="4">
        <f xml:space="preserve"> (num_daily_samples + num_non_daily_samples) * num_vc25_lvl3_counters</f>
        <v>190800000</v>
      </c>
    </row>
    <row r="108" spans="1:13" s="3" customFormat="1" hidden="1" x14ac:dyDescent="0.25">
      <c r="B108" s="4"/>
    </row>
    <row r="109" spans="1:13" s="3" customFormat="1" hidden="1" x14ac:dyDescent="0.25">
      <c r="A109" s="3" t="s">
        <v>3</v>
      </c>
      <c r="B109" s="4">
        <f xml:space="preserve"> (num_non_vcloud_lvl3_vc25_samples + num_ext_trafic_samples)</f>
        <v>406296000</v>
      </c>
    </row>
    <row r="110" spans="1:13" s="3" customFormat="1" hidden="1" x14ac:dyDescent="0.25">
      <c r="B110" s="4"/>
      <c r="J110" s="2"/>
    </row>
    <row r="111" spans="1:13" s="3" customFormat="1" hidden="1" x14ac:dyDescent="0.25">
      <c r="A111" s="3" t="s">
        <v>8</v>
      </c>
      <c r="B111" s="4">
        <f xml:space="preserve"> IF(is_vc_stats_enabled="Yes", (total_num_lvl3_vc25_samples * ave_stat_rec_size) / (1024 * 1024 * 1024), 0)</f>
        <v>53.353361785411835</v>
      </c>
      <c r="C111" s="3" t="s">
        <v>6</v>
      </c>
    </row>
    <row r="112" spans="1:13" s="3" customFormat="1" hidden="1" x14ac:dyDescent="0.25">
      <c r="B112" s="4"/>
    </row>
    <row r="113" spans="1:13" s="3" customFormat="1" hidden="1" x14ac:dyDescent="0.25">
      <c r="B113" s="4"/>
    </row>
    <row r="114" spans="1:13" s="3" customFormat="1" hidden="1" x14ac:dyDescent="0.25">
      <c r="A114" s="1" t="s">
        <v>64</v>
      </c>
      <c r="B114" s="4"/>
    </row>
    <row r="115" spans="1:13" s="3" customFormat="1" hidden="1" x14ac:dyDescent="0.25">
      <c r="A115" s="3" t="s">
        <v>17</v>
      </c>
      <c r="B115" s="4">
        <v>1</v>
      </c>
      <c r="C115" s="3" t="s">
        <v>9</v>
      </c>
    </row>
    <row r="116" spans="1:13" s="3" customFormat="1" hidden="1" x14ac:dyDescent="0.25">
      <c r="A116" s="3" t="s">
        <v>18</v>
      </c>
      <c r="B116" s="4">
        <f xml:space="preserve"> (120/1024)</f>
        <v>0.1171875</v>
      </c>
      <c r="C116" s="3" t="s">
        <v>9</v>
      </c>
    </row>
    <row r="117" spans="1:13" s="3" customFormat="1" hidden="1" x14ac:dyDescent="0.25">
      <c r="A117" s="3" t="s">
        <v>21</v>
      </c>
      <c r="B117" s="4">
        <v>0.6</v>
      </c>
      <c r="C117" s="3" t="s">
        <v>9</v>
      </c>
      <c r="G117"/>
      <c r="H117"/>
      <c r="I117"/>
      <c r="J117"/>
      <c r="K117"/>
      <c r="L117"/>
    </row>
    <row r="118" spans="1:13" s="3" customFormat="1" hidden="1" x14ac:dyDescent="0.25">
      <c r="A118" s="3" t="s">
        <v>36</v>
      </c>
      <c r="B118" s="4">
        <v>0.7</v>
      </c>
      <c r="C118" s="3" t="s">
        <v>9</v>
      </c>
      <c r="F118"/>
      <c r="G118"/>
      <c r="H118"/>
      <c r="I118"/>
      <c r="J118"/>
      <c r="K118"/>
      <c r="L118"/>
    </row>
    <row r="119" spans="1:13" s="3" customFormat="1" hidden="1" x14ac:dyDescent="0.25">
      <c r="A119" s="3" t="s">
        <v>15</v>
      </c>
      <c r="B119" s="4">
        <v>20</v>
      </c>
      <c r="C119" s="3" t="s">
        <v>9</v>
      </c>
      <c r="F119"/>
      <c r="G119"/>
      <c r="H119"/>
      <c r="I119"/>
      <c r="J119"/>
      <c r="K119"/>
      <c r="L119"/>
      <c r="M119"/>
    </row>
    <row r="120" spans="1:13" hidden="1" x14ac:dyDescent="0.25">
      <c r="A120" t="s">
        <v>76</v>
      </c>
      <c r="B120" s="4">
        <f xml:space="preserve"> (total_num_vms / total_num_hiearchies)</f>
        <v>200</v>
      </c>
      <c r="D120" t="s">
        <v>71</v>
      </c>
    </row>
    <row r="121" spans="1:13" s="3" customFormat="1" hidden="1" x14ac:dyDescent="0.25">
      <c r="A121" s="3" t="s">
        <v>75</v>
      </c>
      <c r="B121" s="4">
        <f xml:space="preserve"> ROUNDUP(ave_num_of_vms_in_hierarchy * (ave_pcnt_cb_folders_per_hierarchy / 100), 0)</f>
        <v>20</v>
      </c>
      <c r="F121"/>
      <c r="G121"/>
      <c r="H121"/>
      <c r="I121"/>
      <c r="J121"/>
      <c r="K121"/>
      <c r="L121"/>
      <c r="M121"/>
    </row>
    <row r="122" spans="1:13" hidden="1" x14ac:dyDescent="0.25">
      <c r="A122" t="s">
        <v>0</v>
      </c>
      <c r="B122" s="4">
        <f xml:space="preserve"> (ave_num_of_vms_in_hierarchy + ave_num_of_folders_in_hierarchy)</f>
        <v>220</v>
      </c>
    </row>
    <row r="123" spans="1:13" hidden="1" x14ac:dyDescent="0.25">
      <c r="B123" s="4"/>
    </row>
    <row r="124" spans="1:13" s="3" customFormat="1" hidden="1" x14ac:dyDescent="0.25">
      <c r="A124" s="3" t="s">
        <v>24</v>
      </c>
      <c r="B124" s="4">
        <f xml:space="preserve"> (xml_reports_size + total_exp_reports_size) / (1024 * 1024)</f>
        <v>15.842467546463014</v>
      </c>
      <c r="C124" s="3" t="s">
        <v>6</v>
      </c>
      <c r="F124"/>
      <c r="G124"/>
      <c r="H124"/>
      <c r="I124"/>
      <c r="J124"/>
      <c r="K124"/>
      <c r="L124"/>
      <c r="M124"/>
    </row>
    <row r="125" spans="1:13" hidden="1" x14ac:dyDescent="0.25">
      <c r="A125" s="3"/>
      <c r="D125" s="3"/>
      <c r="E125" s="3"/>
    </row>
    <row r="126" spans="1:13" hidden="1" x14ac:dyDescent="0.25">
      <c r="A126" s="1" t="s">
        <v>80</v>
      </c>
    </row>
    <row r="127" spans="1:13" hidden="1" x14ac:dyDescent="0.25">
      <c r="A127" t="s">
        <v>81</v>
      </c>
      <c r="B127" s="4">
        <f>IF(stand_alone_cb&lt;&gt;"yes",(IFERROR(((num_rtd_nw_per_org*num_orgs)+(num_rtd_nw_per_vapp*total_num_vapps)),0)))*2*365*duration</f>
        <v>1496500</v>
      </c>
    </row>
    <row r="128" spans="1:13" hidden="1" x14ac:dyDescent="0.25">
      <c r="A128" t="s">
        <v>82</v>
      </c>
      <c r="B128" s="4">
        <f>(IF(db_type="SQL Server",30,46))</f>
        <v>46</v>
      </c>
    </row>
    <row r="129" spans="1:3" hidden="1" x14ac:dyDescent="0.25">
      <c r="A129" t="s">
        <v>83</v>
      </c>
      <c r="B129" s="4">
        <f>(num_p95_records*p95_record_size)/(1024*1024*1024)</f>
        <v>6.4111314713954926E-2</v>
      </c>
      <c r="C129" t="s">
        <v>6</v>
      </c>
    </row>
    <row r="130" spans="1:3" hidden="1" x14ac:dyDescent="0.25"/>
    <row r="131" spans="1:3" hidden="1" x14ac:dyDescent="0.25"/>
    <row r="132" spans="1:3" hidden="1" x14ac:dyDescent="0.25"/>
  </sheetData>
  <sheetProtection password="A3AB" sheet="1" objects="1" scenarios="1" formatRows="0" selectLockedCells="1"/>
  <dataConsolidate/>
  <dataValidations count="9">
    <dataValidation type="list" showInputMessage="1" showErrorMessage="1" sqref="B13 B11">
      <formula1>"Yes,No"</formula1>
    </dataValidation>
    <dataValidation type="whole" operator="greaterThan" allowBlank="1" showInputMessage="1" showErrorMessage="1" sqref="B16 B120 B122:B123">
      <formula1>0</formula1>
    </dataValidation>
    <dataValidation type="decimal" operator="greaterThan" showInputMessage="1" showErrorMessage="1" sqref="B5 B23">
      <formula1>0</formula1>
    </dataValidation>
    <dataValidation showInputMessage="1" showErrorMessage="1" sqref="B14"/>
    <dataValidation type="list" showInputMessage="1" showErrorMessage="1" sqref="B12">
      <formula1>"1,2,3,4"</formula1>
    </dataValidation>
    <dataValidation type="whole" operator="greaterThanOrEqual" showInputMessage="1" showErrorMessage="1" sqref="B71">
      <formula1>0</formula1>
    </dataValidation>
    <dataValidation type="whole" operator="greaterThan" showInputMessage="1" showErrorMessage="1" sqref="B19:B22 B29 B26:B27 B76:B77 B72:B73 B6:B10">
      <formula1>0</formula1>
    </dataValidation>
    <dataValidation type="whole" showInputMessage="1" showErrorMessage="1" sqref="B74">
      <formula1>0</formula1>
      <formula2>100</formula2>
    </dataValidation>
    <dataValidation type="list" showInputMessage="1" showErrorMessage="1" sqref="B1">
      <formula1>"SQL Server,Oracle"</formula1>
    </dataValidation>
  </dataValidations>
  <pageMargins left="0.7" right="0.7" top="0.75" bottom="0.75" header="0.3" footer="0.3"/>
  <pageSetup orientation="portrait" verticalDpi="300" r:id="rId1"/>
  <drawing r:id="rId2"/>
  <legacyDrawing r:id="rId3"/>
  <tableParts count="4"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72</vt:i4>
      </vt:variant>
    </vt:vector>
  </HeadingPairs>
  <TitlesOfParts>
    <vt:vector size="73" baseType="lpstr">
      <vt:lpstr>CBDB Sizing</vt:lpstr>
      <vt:lpstr>ave_num_of_folders_in_hierarchy</vt:lpstr>
      <vt:lpstr>'CBDB Sizing'!ave_num_of_vms_in_hierarchy</vt:lpstr>
      <vt:lpstr>'CBDB Sizing'!ave_pcnt_cb_folders_per_hierarchy</vt:lpstr>
      <vt:lpstr>ave_stat_rec_size</vt:lpstr>
      <vt:lpstr>avg_exp_report_page_size</vt:lpstr>
      <vt:lpstr>avg_report_entity_with_cres_detail_size</vt:lpstr>
      <vt:lpstr>avg_report_entity_with_cres_size</vt:lpstr>
      <vt:lpstr>avg_report_entity_wout_cres_detail_size</vt:lpstr>
      <vt:lpstr>avg_report_entity_wout_cres_size</vt:lpstr>
      <vt:lpstr>bband_stats_interval</vt:lpstr>
      <vt:lpstr>'CBDB Sizing'!db_type</vt:lpstr>
      <vt:lpstr>'CBDB Sizing'!duration</vt:lpstr>
      <vt:lpstr>exp_report_size</vt:lpstr>
      <vt:lpstr>is_vc_stats_enabled</vt:lpstr>
      <vt:lpstr>lvl1_samples_size</vt:lpstr>
      <vt:lpstr>lvl3_samples_size</vt:lpstr>
      <vt:lpstr>lvl3_vc25_samples_size</vt:lpstr>
      <vt:lpstr>num_cost_config_chnges</vt:lpstr>
      <vt:lpstr>num_daily_samples</vt:lpstr>
      <vt:lpstr>num_disk_devs_per_vm</vt:lpstr>
      <vt:lpstr>num_ext_trafic_samples</vt:lpstr>
      <vt:lpstr>num_hier_chnges</vt:lpstr>
      <vt:lpstr>num_hierarchies</vt:lpstr>
      <vt:lpstr>num_lvl1_counters</vt:lpstr>
      <vt:lpstr>num_net_devs_per_vm</vt:lpstr>
      <vt:lpstr>num_non_daily_samples</vt:lpstr>
      <vt:lpstr>num_non_vcloud_lvl1_samples</vt:lpstr>
      <vt:lpstr>num_non_vcloud_lvl3_samples</vt:lpstr>
      <vt:lpstr>num_non_vcloud_lvl3_vc25_samples</vt:lpstr>
      <vt:lpstr>num_orgs</vt:lpstr>
      <vt:lpstr>num_p95_records</vt:lpstr>
      <vt:lpstr>num_report_comp_res</vt:lpstr>
      <vt:lpstr>num_report_entities</vt:lpstr>
      <vt:lpstr>num_report_pages</vt:lpstr>
      <vt:lpstr>num_reports_per_hier_per_mon</vt:lpstr>
      <vt:lpstr>num_reports_per_mon</vt:lpstr>
      <vt:lpstr>num_rtd_nw_per_org</vt:lpstr>
      <vt:lpstr>num_rtd_nw_per_vapp</vt:lpstr>
      <vt:lpstr>num_short_lived_vms</vt:lpstr>
      <vt:lpstr>num_vc25_lvl3_counters</vt:lpstr>
      <vt:lpstr>num_vc4_lvl3_counters</vt:lpstr>
      <vt:lpstr>'CBDB Sizing'!num_vcpus_per_vm</vt:lpstr>
      <vt:lpstr>'CBDB Sizing'!num_vcs</vt:lpstr>
      <vt:lpstr>num_vms_per_vapp</vt:lpstr>
      <vt:lpstr>num_vms_per_vc</vt:lpstr>
      <vt:lpstr>number_of_extenal_networks</vt:lpstr>
      <vt:lpstr>number_of_extenla_networks</vt:lpstr>
      <vt:lpstr>'CBDB Sizing'!output_orcl_lvl1</vt:lpstr>
      <vt:lpstr>output_orcl_lvl3</vt:lpstr>
      <vt:lpstr>output_sql_lvl1</vt:lpstr>
      <vt:lpstr>output_sql_lvl3</vt:lpstr>
      <vt:lpstr>p95_record_size</vt:lpstr>
      <vt:lpstr>report_entity_size_per_mon</vt:lpstr>
      <vt:lpstr>short_lived_vms</vt:lpstr>
      <vt:lpstr>'CBDB Sizing'!stand_alone_cb</vt:lpstr>
      <vt:lpstr>stand_alone_cb_info</vt:lpstr>
      <vt:lpstr>total_exp_reports_size</vt:lpstr>
      <vt:lpstr>total_num_hiearchies</vt:lpstr>
      <vt:lpstr>total_num_lvl1_samples</vt:lpstr>
      <vt:lpstr>total_num_lvl3_samples</vt:lpstr>
      <vt:lpstr>total_num_lvl3_vc25_samples</vt:lpstr>
      <vt:lpstr>total_num_report_entities_per_mon</vt:lpstr>
      <vt:lpstr>total_num_vapps</vt:lpstr>
      <vt:lpstr>total_num_vms</vt:lpstr>
      <vt:lpstr>total_p95_size</vt:lpstr>
      <vt:lpstr>total_report_entity_detail_size</vt:lpstr>
      <vt:lpstr>total_report_entity_summary_size</vt:lpstr>
      <vt:lpstr>total_reports_size</vt:lpstr>
      <vt:lpstr>vc_stats_coll_level</vt:lpstr>
      <vt:lpstr>'CBDB Sizing'!vcloud_integ_cb_info</vt:lpstr>
      <vt:lpstr>'CBDB Sizing'!vms_per_vc</vt:lpstr>
      <vt:lpstr>xml_reports_size</vt:lpstr>
    </vt:vector>
  </TitlesOfParts>
  <Company>VMware,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VMware, Inc.</dc:creator>
  <cp:lastModifiedBy>cloudnloud</cp:lastModifiedBy>
  <dcterms:created xsi:type="dcterms:W3CDTF">2010-09-01T11:01:16Z</dcterms:created>
  <dcterms:modified xsi:type="dcterms:W3CDTF">2021-08-29T18:51:32Z</dcterms:modified>
</cp:coreProperties>
</file>